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cerlaptop\WEPP_PUP_HILL\Multi_variate\Multi_variate\08_Post-process\"/>
    </mc:Choice>
  </mc:AlternateContent>
  <xr:revisionPtr revIDLastSave="0" documentId="13_ncr:1_{1F706E6E-F976-4BBC-AF24-A8FBF420760B}" xr6:coauthVersionLast="47" xr6:coauthVersionMax="47" xr10:uidLastSave="{00000000-0000-0000-0000-000000000000}"/>
  <bookViews>
    <workbookView xWindow="-108" yWindow="-108" windowWidth="23256" windowHeight="12456" firstSheet="1" activeTab="1" xr2:uid="{DD342692-C871-4C10-8CB1-F266BB90DDF9}"/>
  </bookViews>
  <sheets>
    <sheet name="Instruction" sheetId="2" r:id="rId1"/>
    <sheet name="Val_plot" sheetId="1" r:id="rId2"/>
  </sheets>
  <definedNames>
    <definedName name="_xlnm._FilterDatabase" localSheetId="1" hidden="1">Val_plot!$A$1:$A$266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 a="1"/>
  <c r="E22" i="1"/>
  <c r="E23" i="1" a="1"/>
  <c r="E2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<sst xmlns="http://schemas.openxmlformats.org/spreadsheetml/2006/main" count="14" uniqueCount="14">
  <si>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Validation procedure</t>
  </si>
  <si>
    <t>1.  Copy and past the simulated and the observed runoff values</t>
  </si>
  <si>
    <t>2.  Paste it against the column mentioned in Val_plot sheet</t>
  </si>
  <si>
    <t>3  The tool automatically plots the scatter plot for you</t>
  </si>
  <si>
    <t>4. Also calculates NSE, PBIAS, RMSE, r if needed or you can disable it</t>
  </si>
  <si>
    <t>Observed_Variable</t>
  </si>
  <si>
    <t>Simulated_variable</t>
  </si>
  <si>
    <t xml:space="preserve"> ( 1:1 line)</t>
  </si>
  <si>
    <t>x</t>
  </si>
  <si>
    <t>y</t>
  </si>
  <si>
    <t>NSE</t>
  </si>
  <si>
    <t>Corr</t>
  </si>
  <si>
    <t>PBIAS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</si>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</sst>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Validation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88123313032993"/>
          <c:y val="0.13318961515783179"/>
          <c:w val="0.8365322107750659"/>
          <c:h val="0.77904344401470527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Val_plot!$B$1</c:f>
              <c:strCache>
                <c:ptCount val="1"/>
                <c:pt idx="0">
                  <c:v>Simulated_variable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18"/>
            <c:marker>
              <c:symbol val="circle"/>
              <c:size val="2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128-446C-AAB9-31B79363C0DE}"/>
              </c:ext>
            </c:extLst>
          </c:dPt>
          <c:trendline>
            <c:spPr>
              <a:ln w="1270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Val_plot!$A$2:$A$266</c:f>
              <c:numCache>
                <c:formatCode>General</c:formatCode>
                <c:ptCount val="265"/>
              </c:numCache>
            </c:numRef>
          </c:xVal>
          <c:yVal>
            <c:numRef>
              <c:f>Val_plot!$B$2:$B$266</c:f>
              <c:numCache>
                <c:formatCode>General</c:formatCode>
                <c:ptCount val="26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8-446C-AAB9-31B79363C0DE}"/>
            </c:ext>
          </c:extLst>
        </c:ser>
        <c:ser>
          <c:idx val="1"/>
          <c:order val="1"/>
          <c:tx>
            <c:strRef>
              <c:f>Val_plot!$K$3</c:f>
              <c:strCache>
                <c:ptCount val="1"/>
                <c:pt idx="0">
                  <c:v>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31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28-446C-AAB9-31B79363C0DE}"/>
              </c:ext>
            </c:extLst>
          </c:dPt>
          <c:xVal>
            <c:numRef>
              <c:f>Val_plot!$K$4:$K$5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xVal>
          <c:yVal>
            <c:numRef>
              <c:f>Val_plot!$L$4:$L$5</c:f>
              <c:numCache>
                <c:formatCode>General</c:formatCode>
                <c:ptCount val="2"/>
                <c:pt idx="0">
                  <c:v>0</c:v>
                </c:pt>
                <c:pt idx="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28-446C-AAB9-31B79363C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149504"/>
        <c:axId val="1449546511"/>
      </c:scatterChart>
      <c:valAx>
        <c:axId val="1250149504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49546511"/>
        <c:crosses val="autoZero"/>
        <c:crossBetween val="midCat"/>
        <c:majorUnit val="20"/>
      </c:valAx>
      <c:valAx>
        <c:axId val="1449546511"/>
        <c:scaling>
          <c:orientation val="minMax"/>
          <c:max val="1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0149504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56600090264402225"/>
          <c:y val="0.74526967277183753"/>
          <c:w val="0.38867472750472731"/>
          <c:h val="0.16575116034366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128587</xdr:rowOff>
    </xdr:from>
    <xdr:to>
      <xdr:col>8</xdr:col>
      <xdr:colOff>581025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59CB2-0B36-954C-6C8C-9E21B81DB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5991-B4C5-42B5-A8F4-E53CF2F64C05}">
  <dimension ref="B3:H9"/>
  <sheetViews>
    <sheetView showGridLines="0" workbookViewId="0">
      <selection activeCell="B9" sqref="B9:H9"/>
    </sheetView>
  </sheetViews>
  <sheetFormatPr defaultColWidth="9.109375" defaultRowHeight="13.8" x14ac:dyDescent="0.25"/>
  <cols>
    <col min="1" max="16384" width="9.109375" style="1"/>
  </cols>
  <sheetData>
    <row r="3" spans="2:8" ht="15.6" x14ac:dyDescent="0.3">
      <c r="B3" s="4"/>
      <c r="C3" s="5"/>
      <c r="D3" s="5"/>
      <c r="E3" s="5"/>
      <c r="F3" s="5"/>
      <c r="G3" s="5"/>
      <c r="H3" s="6"/>
    </row>
    <row r="4" spans="2:8" ht="15.6" x14ac:dyDescent="0.3">
      <c r="B4" s="7" t="s">
        <v>0</v>
      </c>
      <c r="C4" s="2"/>
      <c r="D4" s="2"/>
      <c r="E4" s="2"/>
      <c r="F4" s="2"/>
      <c r="G4" s="2"/>
      <c r="H4" s="8"/>
    </row>
    <row r="5" spans="2:8" ht="15.6" x14ac:dyDescent="0.3">
      <c r="B5" s="7"/>
      <c r="C5" s="2"/>
      <c r="D5" s="2"/>
      <c r="E5" s="2"/>
      <c r="F5" s="2"/>
      <c r="G5" s="2"/>
      <c r="H5" s="8"/>
    </row>
    <row r="6" spans="2:8" ht="15.6" x14ac:dyDescent="0.3">
      <c r="B6" s="10" t="s">
        <v>1</v>
      </c>
      <c r="C6" s="11"/>
      <c r="D6" s="11"/>
      <c r="E6" s="11"/>
      <c r="F6" s="11"/>
      <c r="G6" s="11"/>
      <c r="H6" s="12"/>
    </row>
    <row r="7" spans="2:8" ht="15.6" x14ac:dyDescent="0.3">
      <c r="B7" s="10" t="s">
        <v>2</v>
      </c>
      <c r="C7" s="11"/>
      <c r="D7" s="11"/>
      <c r="E7" s="11"/>
      <c r="F7" s="11"/>
      <c r="G7" s="11"/>
      <c r="H7" s="12"/>
    </row>
    <row r="8" spans="2:8" ht="15.6" x14ac:dyDescent="0.3">
      <c r="B8" s="10" t="s">
        <v>3</v>
      </c>
      <c r="C8" s="11"/>
      <c r="D8" s="11"/>
      <c r="E8" s="11"/>
      <c r="F8" s="11"/>
      <c r="G8" s="11"/>
      <c r="H8" s="12"/>
    </row>
    <row r="9" spans="2:8" ht="15.6" x14ac:dyDescent="0.3">
      <c r="B9" s="13" t="s">
        <v>4</v>
      </c>
      <c r="C9" s="14"/>
      <c r="D9" s="14"/>
      <c r="E9" s="14"/>
      <c r="F9" s="14"/>
      <c r="G9" s="14"/>
      <c r="H9" s="15"/>
    </row>
  </sheetData>
  <mergeCells count="4">
    <mergeCell ref="B6:H6"/>
    <mergeCell ref="B8:H8"/>
    <mergeCell ref="B7:H7"/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7951-8171-4231-AE2A-B994F655D64E}">
  <dimension ref="A1:L24"/>
  <sheetViews>
    <sheetView tabSelected="1" zoomScale="70" zoomScaleNormal="70" workbookViewId="0">
      <selection activeCell="A2" sqref="A2:B1048576"/>
    </sheetView>
  </sheetViews>
  <sheetFormatPr defaultRowHeight="15.6" x14ac:dyDescent="0.3"/>
  <cols>
    <col min="1" max="2" width="9.109375" style="2"/>
    <col min="10" max="10" width="23.109375" bestFit="1" customWidth="1"/>
    <col min="11" max="11" width="22.88671875" bestFit="1" customWidth="1"/>
  </cols>
  <sheetData>
    <row r="1" spans="1:12" x14ac:dyDescent="0.3">
      <c r="A1" s="2" t="s">
        <v>5</v>
      </c>
      <c r="B1" s="2" t="s">
        <v>6</v>
      </c>
    </row>
    <row r="2" spans="1:12" x14ac:dyDescent="0.3">
      <c r="K2" s="9" t="s">
        <v>7</v>
      </c>
      <c r="L2" s="9"/>
    </row>
    <row r="3" spans="1:12" x14ac:dyDescent="0.3">
      <c r="K3" s="3" t="s">
        <v>8</v>
      </c>
      <c r="L3" s="3" t="s">
        <v>9</v>
      </c>
    </row>
    <row r="4" spans="1:12" x14ac:dyDescent="0.3">
      <c r="K4" s="3">
        <v>0</v>
      </c>
      <c r="L4" s="3">
        <v>0</v>
      </c>
    </row>
    <row r="5" spans="1:12" x14ac:dyDescent="0.3">
      <c r="K5" s="3">
        <v>90</v>
      </c>
      <c r="L5" s="3">
        <v>90</v>
      </c>
    </row>
    <row r="21" spans="4:5" x14ac:dyDescent="0.3">
      <c r="D21" t="s">
        <v>10</v>
      </c>
      <c r="E21" t="e" cm="1">
        <f t="array" ref="E21">1 - (SUMPRODUCT((A2:A266-B2:B266)^2)) / SUMPRODUCT((A2:A266-AVERAGE(A2:A266))^2)</f>
        <v>#DIV/0!</v>
      </c>
    </row>
    <row r="22" spans="4:5" x14ac:dyDescent="0.3">
      <c r="D22" t="s">
        <v>11</v>
      </c>
      <c r="E22" t="e">
        <f>CORREL(A2:A266, B2:B266)</f>
        <v>#DIV/0!</v>
      </c>
    </row>
    <row r="23" spans="4:5" x14ac:dyDescent="0.3">
      <c r="D23" t="s">
        <v>12</v>
      </c>
      <c r="E23" t="e" cm="1">
        <f t="array" ref="E23">100 * (SUM(B2:B266 - A2:A266) / SUM(A2:A266))</f>
        <v>#DIV/0!</v>
      </c>
    </row>
    <row r="24" spans="4:5" x14ac:dyDescent="0.3">
      <c r="D24" t="s">
        <v>13</v>
      </c>
      <c r="E24" cm="1">
        <f t="array" ref="E24">SQRT(AVERAGE((A2:A100 - B2:B100)^2))</f>
        <v>0</v>
      </c>
    </row>
  </sheetData>
  <mergeCells count="1">
    <mergeCell ref="K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Val_plot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Suliammal Ponnambalam Vijayalakshmi</dc:creator>
  <cp:keywords/>
  <dc:description/>
  <cp:lastModifiedBy>viji SP</cp:lastModifiedBy>
  <cp:revision/>
  <dcterms:created xsi:type="dcterms:W3CDTF">2025-10-15T18:41:44Z</dcterms:created>
  <dcterms:modified xsi:type="dcterms:W3CDTF">2026-10-16T12:05:20Z</dcterms:modified>
  <cp:category/>
  <cp:contentStatus/>
</cp:coreProperties>
</file>